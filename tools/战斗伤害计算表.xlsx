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伤害计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3C4043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5F6368"/>
      <sz val="9"/>
    </font>
    <font>
      <name val="微软雅黑"/>
      <color rgb="005F6368"/>
      <sz val="9"/>
    </font>
  </fonts>
  <fills count="11">
    <fill>
      <patternFill/>
    </fill>
    <fill>
      <patternFill patternType="gray125"/>
    </fill>
    <fill>
      <patternFill patternType="solid">
        <fgColor rgb="003C4043"/>
      </patternFill>
    </fill>
    <fill>
      <patternFill patternType="solid">
        <fgColor rgb="00C9DAF8"/>
      </patternFill>
    </fill>
    <fill>
      <patternFill patternType="solid">
        <fgColor rgb="00D9EAD3"/>
      </patternFill>
    </fill>
    <fill>
      <patternFill patternType="solid">
        <fgColor rgb="00F4ECDC"/>
      </patternFill>
    </fill>
    <fill>
      <patternFill patternType="solid">
        <fgColor rgb="00F4CCCC"/>
      </patternFill>
    </fill>
    <fill>
      <patternFill patternType="solid">
        <fgColor rgb="00E6F4EA"/>
      </patternFill>
    </fill>
    <fill>
      <patternFill patternType="solid">
        <fgColor rgb="0080868B"/>
      </patternFill>
    </fill>
    <fill>
      <patternFill patternType="solid">
        <fgColor rgb="00E8F0FE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xSplit="30" ySplit="3" topLeftCell="A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8" customWidth="1" min="4" max="4"/>
    <col width="10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8" customWidth="1" min="17" max="17"/>
    <col width="9" customWidth="1" min="18" max="18"/>
    <col width="7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8" customWidth="1" min="25" max="25"/>
    <col width="8" customWidth="1" min="26" max="26"/>
    <col width="9" customWidth="1" min="27" max="27"/>
    <col width="9" customWidth="1" min="28" max="28"/>
    <col width="9" customWidth="1" min="29" max="29"/>
    <col width="9" customWidth="1" min="30" max="30"/>
    <col width="16" customWidth="1" min="31" max="31"/>
    <col width="14" customWidth="1" min="32" max="32"/>
    <col width="14" customWidth="1" min="33" max="33"/>
    <col width="14" customWidth="1" min="34" max="34"/>
    <col width="16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1" t="inlineStr">
        <is>
          <t>一、人物属性</t>
        </is>
      </c>
      <c r="Q1" s="1" t="inlineStr">
        <is>
          <t>二、怪物属性</t>
        </is>
      </c>
      <c r="AE1" s="1" t="inlineStr">
        <is>
          <t>三、伤害计算（完整设计版·自动生成）</t>
        </is>
      </c>
    </row>
    <row r="2" ht="22" customHeight="1">
      <c r="A2" s="2" t="inlineStr">
        <is>
          <t>基础属性</t>
        </is>
      </c>
      <c r="H2" s="3" t="inlineStr">
        <is>
          <t>属性伤害（人物→怪物）</t>
        </is>
      </c>
      <c r="L2" s="4" t="inlineStr">
        <is>
          <t>抗性（减伤怪物伤害）</t>
        </is>
      </c>
      <c r="Q2" s="5" t="inlineStr">
        <is>
          <t>基础属性</t>
        </is>
      </c>
      <c r="W2" s="3" t="inlineStr">
        <is>
          <t>属性攻击（怪物→人物）</t>
        </is>
      </c>
      <c r="AA2" s="4" t="inlineStr">
        <is>
          <t>抗性（减伤人物属性伤害）</t>
        </is>
      </c>
      <c r="AE2" s="6" t="inlineStr">
        <is>
          <t>伤害/击杀次数/击杀时间（含属性+抗性）</t>
        </is>
      </c>
    </row>
    <row r="3" ht="46" customHeight="1">
      <c r="A3" s="7" t="inlineStr">
        <is>
          <t>攻击力</t>
        </is>
      </c>
      <c r="B3" s="7" t="inlineStr">
        <is>
          <t>攻击速度</t>
        </is>
      </c>
      <c r="C3" s="7" t="inlineStr">
        <is>
          <t>最大生命</t>
        </is>
      </c>
      <c r="D3" s="7" t="inlineStr">
        <is>
          <t>暴击率
(%)</t>
        </is>
      </c>
      <c r="E3" s="7" t="inlineStr">
        <is>
          <t>暴击伤害
(%)</t>
        </is>
      </c>
      <c r="F3" s="7" t="inlineStr">
        <is>
          <t>防御</t>
        </is>
      </c>
      <c r="G3" s="7" t="inlineStr">
        <is>
          <t>物理穿透</t>
        </is>
      </c>
      <c r="H3" s="7" t="inlineStr">
        <is>
          <t>火属性
伤害</t>
        </is>
      </c>
      <c r="I3" s="7" t="inlineStr">
        <is>
          <t>冰属性
伤害</t>
        </is>
      </c>
      <c r="J3" s="7" t="inlineStr">
        <is>
          <t>雷属性
伤害</t>
        </is>
      </c>
      <c r="K3" s="7" t="inlineStr">
        <is>
          <t>毒属性
伤害</t>
        </is>
      </c>
      <c r="L3" s="7" t="inlineStr">
        <is>
          <t>通用抗性
(%)</t>
        </is>
      </c>
      <c r="M3" s="7" t="inlineStr">
        <is>
          <t>火抗性
(%)</t>
        </is>
      </c>
      <c r="N3" s="7" t="inlineStr">
        <is>
          <t>冰抗性
(%)</t>
        </is>
      </c>
      <c r="O3" s="7" t="inlineStr">
        <is>
          <t>雷抗性
(%)</t>
        </is>
      </c>
      <c r="P3" s="7" t="inlineStr">
        <is>
          <t>毒抗性
(%)</t>
        </is>
      </c>
      <c r="Q3" s="7" t="inlineStr">
        <is>
          <t>攻击力</t>
        </is>
      </c>
      <c r="R3" s="7" t="inlineStr">
        <is>
          <t>最大生命</t>
        </is>
      </c>
      <c r="S3" s="7" t="inlineStr">
        <is>
          <t>防御</t>
        </is>
      </c>
      <c r="T3" s="7" t="inlineStr">
        <is>
          <t>暴击率
(%)</t>
        </is>
      </c>
      <c r="U3" s="7" t="inlineStr">
        <is>
          <t>暴击伤害
(%)</t>
        </is>
      </c>
      <c r="V3" s="7" t="inlineStr">
        <is>
          <t>攻击速度</t>
        </is>
      </c>
      <c r="W3" s="7" t="inlineStr">
        <is>
          <t>火属性
攻击</t>
        </is>
      </c>
      <c r="X3" s="7" t="inlineStr">
        <is>
          <t>冰属性
攻击</t>
        </is>
      </c>
      <c r="Y3" s="7" t="inlineStr">
        <is>
          <t>雷属性
攻击</t>
        </is>
      </c>
      <c r="Z3" s="7" t="inlineStr">
        <is>
          <t>毒属性
攻击</t>
        </is>
      </c>
      <c r="AA3" s="7" t="inlineStr">
        <is>
          <t>火抗性
(%)</t>
        </is>
      </c>
      <c r="AB3" s="7" t="inlineStr">
        <is>
          <t>冰抗性
(%)</t>
        </is>
      </c>
      <c r="AC3" s="7" t="inlineStr">
        <is>
          <t>雷抗性
(%)</t>
        </is>
      </c>
      <c r="AD3" s="7" t="inlineStr">
        <is>
          <t>毒抗性
(%)</t>
        </is>
      </c>
      <c r="AE3" s="7" t="inlineStr">
        <is>
          <t>人物攻击怪物
非暴击总伤害</t>
        </is>
      </c>
      <c r="AF3" s="7" t="inlineStr">
        <is>
          <t>人物攻击怪物
暴击总伤害</t>
        </is>
      </c>
      <c r="AG3" s="7" t="inlineStr">
        <is>
          <t>人物击杀怪物
次数(ceil)</t>
        </is>
      </c>
      <c r="AH3" s="7" t="inlineStr">
        <is>
          <t>人物击杀怪物
时间(秒)</t>
        </is>
      </c>
      <c r="AI3" s="7" t="inlineStr">
        <is>
          <t>怪物攻击人物
非暴击总伤害</t>
        </is>
      </c>
      <c r="AJ3" s="7" t="inlineStr">
        <is>
          <t>怪物攻击人物
暴击总伤害</t>
        </is>
      </c>
      <c r="AK3" s="7" t="inlineStr">
        <is>
          <t>怪物击杀人物
次数(ceil)</t>
        </is>
      </c>
      <c r="AL3" s="7" t="inlineStr">
        <is>
          <t>怪物击杀人物
时间(秒)</t>
        </is>
      </c>
    </row>
    <row r="4">
      <c r="A4" s="8" t="n">
        <v>100</v>
      </c>
      <c r="B4" s="8" t="n">
        <v>1000</v>
      </c>
      <c r="C4" s="8" t="n">
        <v>2000</v>
      </c>
      <c r="D4" s="8" t="n">
        <v>20</v>
      </c>
      <c r="E4" s="8" t="n">
        <v>150</v>
      </c>
      <c r="F4" s="8" t="n">
        <v>30</v>
      </c>
      <c r="G4" s="8" t="n">
        <v>10</v>
      </c>
      <c r="H4" s="8" t="n">
        <v>50</v>
      </c>
      <c r="I4" s="8" t="n">
        <v>0</v>
      </c>
      <c r="J4" s="8" t="n">
        <v>30</v>
      </c>
      <c r="K4" s="8" t="n">
        <v>0</v>
      </c>
      <c r="L4" s="8" t="n">
        <v>20</v>
      </c>
      <c r="M4" s="8" t="n">
        <v>0</v>
      </c>
      <c r="N4" s="8" t="n">
        <v>10</v>
      </c>
      <c r="O4" s="8" t="n">
        <v>0</v>
      </c>
      <c r="P4" s="8" t="n">
        <v>0</v>
      </c>
      <c r="Q4" s="9" t="n">
        <v>50</v>
      </c>
      <c r="R4" s="9" t="n">
        <v>800</v>
      </c>
      <c r="S4" s="9" t="n">
        <v>20</v>
      </c>
      <c r="T4" s="9" t="n">
        <v>10</v>
      </c>
      <c r="U4" s="9" t="n">
        <v>100</v>
      </c>
      <c r="V4" s="9" t="n">
        <v>1500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15</v>
      </c>
      <c r="AB4" s="9" t="n">
        <v>0</v>
      </c>
      <c r="AC4" s="9" t="n">
        <v>10</v>
      </c>
      <c r="AD4" s="9" t="n">
        <v>0</v>
      </c>
      <c r="AE4" s="10">
        <f>MAX(1,ROUND(A4*(1-MAX(0,S4-G4)/100)+H4*(1-AA4/100)+I4*(1-AB4/100)+J4*(1-AC4/100)+K4*(1-AD4/100),0))</f>
        <v/>
      </c>
      <c r="AF4" s="10">
        <f>MAX(1,ROUND((A4*(1-MAX(0,S4-G4)/100)+H4*(1-AA4/100)+I4*(1-AB4/100)+J4*(1-AC4/100)+K4*(1-AD4/100))*(1+E4/100),0))</f>
        <v/>
      </c>
      <c r="AG4" s="11">
        <f>IFERROR(CEILING(R4/AE4,1),"")</f>
        <v/>
      </c>
      <c r="AH4" s="11">
        <f>IFERROR(AG4*(1000/B4)/1000,"")</f>
        <v/>
      </c>
      <c r="AI4" s="10">
        <f>MAX(1,ROUND(Q4*(1-F4/100)*1/(1+L4/100)+W4*(1-M4/100)*1/(1+L4/100)+X4*(1-N4/100)*1/(1+L4/100)+Y4*(1-O4/100)*1/(1+L4/100)+Z4*(1-P4/100)*1/(1+L4/100),0))</f>
        <v/>
      </c>
      <c r="AJ4" s="10">
        <f>MAX(1,ROUND((Q4*(1-F4/100)*1/(1+L4/100)+W4*(1-M4/100)*1/(1+L4/100)+X4*(1-N4/100)*1/(1+L4/100)+Y4*(1-O4/100)*1/(1+L4/100)+Z4*(1-P4/100)*1/(1+L4/100))*(1+U4/100),0))</f>
        <v/>
      </c>
      <c r="AK4" s="11">
        <f>IFERROR(CEILING(C4/AI4,1),"")</f>
        <v/>
      </c>
      <c r="AL4" s="11">
        <f>IFERROR(AK4*(1000/V4)/1000,"")</f>
        <v/>
      </c>
    </row>
    <row r="5">
      <c r="A5" s="8" t="n">
        <v>250</v>
      </c>
      <c r="B5" s="8" t="n">
        <v>800</v>
      </c>
      <c r="C5" s="8" t="n">
        <v>3500</v>
      </c>
      <c r="D5" s="8" t="n">
        <v>35</v>
      </c>
      <c r="E5" s="8" t="n">
        <v>200</v>
      </c>
      <c r="F5" s="8" t="n">
        <v>50</v>
      </c>
      <c r="G5" s="8" t="n">
        <v>25</v>
      </c>
      <c r="H5" s="8" t="n">
        <v>80</v>
      </c>
      <c r="I5" s="8" t="n">
        <v>60</v>
      </c>
      <c r="J5" s="8" t="n">
        <v>0</v>
      </c>
      <c r="K5" s="8" t="n">
        <v>0</v>
      </c>
      <c r="L5" s="8" t="n">
        <v>30</v>
      </c>
      <c r="M5" s="8" t="n">
        <v>0</v>
      </c>
      <c r="N5" s="8" t="n">
        <v>0</v>
      </c>
      <c r="O5" s="8" t="n">
        <v>0</v>
      </c>
      <c r="P5" s="8" t="n">
        <v>20</v>
      </c>
      <c r="Q5" s="9" t="n">
        <v>120</v>
      </c>
      <c r="R5" s="9" t="n">
        <v>3000</v>
      </c>
      <c r="S5" s="9" t="n">
        <v>40</v>
      </c>
      <c r="T5" s="9" t="n">
        <v>15</v>
      </c>
      <c r="U5" s="9" t="n">
        <v>150</v>
      </c>
      <c r="V5" s="9" t="n">
        <v>1200</v>
      </c>
      <c r="W5" s="9" t="n">
        <v>40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25</v>
      </c>
      <c r="AC5" s="9" t="n">
        <v>0</v>
      </c>
      <c r="AD5" s="9" t="n">
        <v>10</v>
      </c>
      <c r="AE5" s="10">
        <f>MAX(1,ROUND(A5*(1-MAX(0,S5-G5)/100)+H5*(1-AA5/100)+I5*(1-AB5/100)+J5*(1-AC5/100)+K5*(1-AD5/100),0))</f>
        <v/>
      </c>
      <c r="AF5" s="10">
        <f>MAX(1,ROUND((A5*(1-MAX(0,S5-G5)/100)+H5*(1-AA5/100)+I5*(1-AB5/100)+J5*(1-AC5/100)+K5*(1-AD5/100))*(1+E5/100),0))</f>
        <v/>
      </c>
      <c r="AG5" s="11">
        <f>IFERROR(CEILING(R5/AE5,1),"")</f>
        <v/>
      </c>
      <c r="AH5" s="11">
        <f>IFERROR(AG5*(1000/B5)/1000,"")</f>
        <v/>
      </c>
      <c r="AI5" s="10">
        <f>MAX(1,ROUND(Q5*(1-F5/100)*1/(1+L5/100)+W5*(1-M5/100)*1/(1+L5/100)+X5*(1-N5/100)*1/(1+L5/100)+Y5*(1-O5/100)*1/(1+L5/100)+Z5*(1-P5/100)*1/(1+L5/100),0))</f>
        <v/>
      </c>
      <c r="AJ5" s="10">
        <f>MAX(1,ROUND((Q5*(1-F5/100)*1/(1+L5/100)+W5*(1-M5/100)*1/(1+L5/100)+X5*(1-N5/100)*1/(1+L5/100)+Y5*(1-O5/100)*1/(1+L5/100)+Z5*(1-P5/100)*1/(1+L5/100))*(1+U5/100),0))</f>
        <v/>
      </c>
      <c r="AK5" s="11">
        <f>IFERROR(CEILING(C5/AI5,1),"")</f>
        <v/>
      </c>
      <c r="AL5" s="11">
        <f>IFERROR(AK5*(1000/V5)/1000,"")</f>
        <v/>
      </c>
    </row>
    <row r="6">
      <c r="A6" s="8" t="n">
        <v>500</v>
      </c>
      <c r="B6" s="8" t="n">
        <v>600</v>
      </c>
      <c r="C6" s="8" t="n">
        <v>8000</v>
      </c>
      <c r="D6" s="8" t="n">
        <v>50</v>
      </c>
      <c r="E6" s="8" t="n">
        <v>250</v>
      </c>
      <c r="F6" s="8" t="n">
        <v>80</v>
      </c>
      <c r="G6" s="8" t="n">
        <v>40</v>
      </c>
      <c r="H6" s="8" t="n">
        <v>0</v>
      </c>
      <c r="I6" s="8" t="n">
        <v>150</v>
      </c>
      <c r="J6" s="8" t="n">
        <v>0</v>
      </c>
      <c r="K6" s="8" t="n">
        <v>100</v>
      </c>
      <c r="L6" s="8" t="n">
        <v>40</v>
      </c>
      <c r="M6" s="8" t="n">
        <v>20</v>
      </c>
      <c r="N6" s="8" t="n">
        <v>0</v>
      </c>
      <c r="O6" s="8" t="n">
        <v>10</v>
      </c>
      <c r="P6" s="8" t="n">
        <v>0</v>
      </c>
      <c r="Q6" s="9" t="n">
        <v>300</v>
      </c>
      <c r="R6" s="9" t="n">
        <v>15000</v>
      </c>
      <c r="S6" s="9" t="n">
        <v>60</v>
      </c>
      <c r="T6" s="9" t="n">
        <v>20</v>
      </c>
      <c r="U6" s="9" t="n">
        <v>200</v>
      </c>
      <c r="V6" s="9" t="n">
        <v>1000</v>
      </c>
      <c r="W6" s="9" t="n">
        <v>0</v>
      </c>
      <c r="X6" s="9" t="n">
        <v>0</v>
      </c>
      <c r="Y6" s="9" t="n">
        <v>80</v>
      </c>
      <c r="Z6" s="9" t="n">
        <v>0</v>
      </c>
      <c r="AA6" s="9" t="n">
        <v>0</v>
      </c>
      <c r="AB6" s="9" t="n">
        <v>0</v>
      </c>
      <c r="AC6" s="9" t="n">
        <v>30</v>
      </c>
      <c r="AD6" s="9" t="n">
        <v>0</v>
      </c>
      <c r="AE6" s="10">
        <f>MAX(1,ROUND(A6*(1-MAX(0,S6-G6)/100)+H6*(1-AA6/100)+I6*(1-AB6/100)+J6*(1-AC6/100)+K6*(1-AD6/100),0))</f>
        <v/>
      </c>
      <c r="AF6" s="10">
        <f>MAX(1,ROUND((A6*(1-MAX(0,S6-G6)/100)+H6*(1-AA6/100)+I6*(1-AB6/100)+J6*(1-AC6/100)+K6*(1-AD6/100))*(1+E6/100),0))</f>
        <v/>
      </c>
      <c r="AG6" s="11">
        <f>IFERROR(CEILING(R6/AE6,1),"")</f>
        <v/>
      </c>
      <c r="AH6" s="11">
        <f>IFERROR(AG6*(1000/B6)/1000,"")</f>
        <v/>
      </c>
      <c r="AI6" s="10">
        <f>MAX(1,ROUND(Q6*(1-F6/100)*1/(1+L6/100)+W6*(1-M6/100)*1/(1+L6/100)+X6*(1-N6/100)*1/(1+L6/100)+Y6*(1-O6/100)*1/(1+L6/100)+Z6*(1-P6/100)*1/(1+L6/100),0))</f>
        <v/>
      </c>
      <c r="AJ6" s="10">
        <f>MAX(1,ROUND((Q6*(1-F6/100)*1/(1+L6/100)+W6*(1-M6/100)*1/(1+L6/100)+X6*(1-N6/100)*1/(1+L6/100)+Y6*(1-O6/100)*1/(1+L6/100)+Z6*(1-P6/100)*1/(1+L6/100))*(1+U6/100),0))</f>
        <v/>
      </c>
      <c r="AK6" s="11">
        <f>IFERROR(CEILING(C6/AI6,1),"")</f>
        <v/>
      </c>
      <c r="AL6" s="11">
        <f>IFERROR(AK6*(1000/V6)/1000,"")</f>
        <v/>
      </c>
    </row>
    <row r="7">
      <c r="A7" s="8" t="n">
        <v>80</v>
      </c>
      <c r="B7" s="8" t="n">
        <v>1200</v>
      </c>
      <c r="C7" s="8" t="n">
        <v>1500</v>
      </c>
      <c r="D7" s="8" t="n">
        <v>10</v>
      </c>
      <c r="E7" s="8" t="n">
        <v>100</v>
      </c>
      <c r="F7" s="8" t="n">
        <v>15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10</v>
      </c>
      <c r="M7" s="8" t="n">
        <v>0</v>
      </c>
      <c r="N7" s="8" t="n">
        <v>0</v>
      </c>
      <c r="O7" s="8" t="n">
        <v>0</v>
      </c>
      <c r="P7" s="8" t="n">
        <v>0</v>
      </c>
      <c r="Q7" s="9" t="n">
        <v>40</v>
      </c>
      <c r="R7" s="9" t="n">
        <v>600</v>
      </c>
      <c r="S7" s="9" t="n">
        <v>10</v>
      </c>
      <c r="T7" s="9" t="n">
        <v>5</v>
      </c>
      <c r="U7" s="9" t="n">
        <v>100</v>
      </c>
      <c r="V7" s="9" t="n">
        <v>1800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10">
        <f>MAX(1,ROUND(A7*(1-MAX(0,S7-G7)/100)+H7*(1-AA7/100)+I7*(1-AB7/100)+J7*(1-AC7/100)+K7*(1-AD7/100),0))</f>
        <v/>
      </c>
      <c r="AF7" s="10">
        <f>MAX(1,ROUND((A7*(1-MAX(0,S7-G7)/100)+H7*(1-AA7/100)+I7*(1-AB7/100)+J7*(1-AC7/100)+K7*(1-AD7/100))*(1+E7/100),0))</f>
        <v/>
      </c>
      <c r="AG7" s="11">
        <f>IFERROR(CEILING(R7/AE7,1),"")</f>
        <v/>
      </c>
      <c r="AH7" s="11">
        <f>IFERROR(AG7*(1000/B7)/1000,"")</f>
        <v/>
      </c>
      <c r="AI7" s="10">
        <f>MAX(1,ROUND(Q7*(1-F7/100)*1/(1+L7/100)+W7*(1-M7/100)*1/(1+L7/100)+X7*(1-N7/100)*1/(1+L7/100)+Y7*(1-O7/100)*1/(1+L7/100)+Z7*(1-P7/100)*1/(1+L7/100),0))</f>
        <v/>
      </c>
      <c r="AJ7" s="10">
        <f>MAX(1,ROUND((Q7*(1-F7/100)*1/(1+L7/100)+W7*(1-M7/100)*1/(1+L7/100)+X7*(1-N7/100)*1/(1+L7/100)+Y7*(1-O7/100)*1/(1+L7/100)+Z7*(1-P7/100)*1/(1+L7/100))*(1+U7/100),0))</f>
        <v/>
      </c>
      <c r="AK7" s="11">
        <f>IFERROR(CEILING(C7/AI7,1),"")</f>
        <v/>
      </c>
      <c r="AL7" s="11">
        <f>IFERROR(AK7*(1000/V7)/1000,"")</f>
        <v/>
      </c>
    </row>
    <row r="8">
      <c r="A8" s="8" t="n">
        <v>1200</v>
      </c>
      <c r="B8" s="8" t="n">
        <v>500</v>
      </c>
      <c r="C8" s="8" t="n">
        <v>20000</v>
      </c>
      <c r="D8" s="8" t="n">
        <v>60</v>
      </c>
      <c r="E8" s="8" t="n">
        <v>300</v>
      </c>
      <c r="F8" s="8" t="n">
        <v>120</v>
      </c>
      <c r="G8" s="8" t="n">
        <v>60</v>
      </c>
      <c r="H8" s="8" t="n">
        <v>200</v>
      </c>
      <c r="I8" s="8" t="n">
        <v>200</v>
      </c>
      <c r="J8" s="8" t="n">
        <v>200</v>
      </c>
      <c r="K8" s="8" t="n">
        <v>200</v>
      </c>
      <c r="L8" s="8" t="n">
        <v>60</v>
      </c>
      <c r="M8" s="8" t="n">
        <v>30</v>
      </c>
      <c r="N8" s="8" t="n">
        <v>30</v>
      </c>
      <c r="O8" s="8" t="n">
        <v>30</v>
      </c>
      <c r="P8" s="8" t="n">
        <v>30</v>
      </c>
      <c r="Q8" s="9" t="n">
        <v>800</v>
      </c>
      <c r="R8" s="9" t="n">
        <v>50000</v>
      </c>
      <c r="S8" s="9" t="n">
        <v>90</v>
      </c>
      <c r="T8" s="9" t="n">
        <v>25</v>
      </c>
      <c r="U8" s="9" t="n">
        <v>250</v>
      </c>
      <c r="V8" s="9" t="n">
        <v>800</v>
      </c>
      <c r="W8" s="9" t="n">
        <v>200</v>
      </c>
      <c r="X8" s="9" t="n">
        <v>200</v>
      </c>
      <c r="Y8" s="9" t="n">
        <v>200</v>
      </c>
      <c r="Z8" s="9" t="n">
        <v>200</v>
      </c>
      <c r="AA8" s="9" t="n">
        <v>40</v>
      </c>
      <c r="AB8" s="9" t="n">
        <v>40</v>
      </c>
      <c r="AC8" s="9" t="n">
        <v>40</v>
      </c>
      <c r="AD8" s="9" t="n">
        <v>40</v>
      </c>
      <c r="AE8" s="10">
        <f>MAX(1,ROUND(A8*(1-MAX(0,S8-G8)/100)+H8*(1-AA8/100)+I8*(1-AB8/100)+J8*(1-AC8/100)+K8*(1-AD8/100),0))</f>
        <v/>
      </c>
      <c r="AF8" s="10">
        <f>MAX(1,ROUND((A8*(1-MAX(0,S8-G8)/100)+H8*(1-AA8/100)+I8*(1-AB8/100)+J8*(1-AC8/100)+K8*(1-AD8/100))*(1+E8/100),0))</f>
        <v/>
      </c>
      <c r="AG8" s="11">
        <f>IFERROR(CEILING(R8/AE8,1),"")</f>
        <v/>
      </c>
      <c r="AH8" s="11">
        <f>IFERROR(AG8*(1000/B8)/1000,"")</f>
        <v/>
      </c>
      <c r="AI8" s="10">
        <f>MAX(1,ROUND(Q8*(1-F8/100)*1/(1+L8/100)+W8*(1-M8/100)*1/(1+L8/100)+X8*(1-N8/100)*1/(1+L8/100)+Y8*(1-O8/100)*1/(1+L8/100)+Z8*(1-P8/100)*1/(1+L8/100),0))</f>
        <v/>
      </c>
      <c r="AJ8" s="10">
        <f>MAX(1,ROUND((Q8*(1-F8/100)*1/(1+L8/100)+W8*(1-M8/100)*1/(1+L8/100)+X8*(1-N8/100)*1/(1+L8/100)+Y8*(1-O8/100)*1/(1+L8/100)+Z8*(1-P8/100)*1/(1+L8/100))*(1+U8/100),0))</f>
        <v/>
      </c>
      <c r="AK8" s="11">
        <f>IFERROR(CEILING(C8/AI8,1),"")</f>
        <v/>
      </c>
      <c r="AL8" s="11">
        <f>IFERROR(AK8*(1000/V8)/1000,"")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10">
        <f>IFERROR(MAX(1,ROUND(A9*(1-MAX(0,S9-G9)/100)+H9*(1-AA9/100)+I9*(1-AB9/100)+J9*(1-AC9/100)+K9*(1-AD9/100),0)),"")</f>
        <v/>
      </c>
      <c r="AF9" s="10">
        <f>IFERROR(MAX(1,ROUND((A9*(1-MAX(0,S9-G9)/100)+H9*(1-AA9/100)+I9*(1-AB9/100)+J9*(1-AC9/100)+K9*(1-AD9/100))*(1+E9/100),0)),"")</f>
        <v/>
      </c>
      <c r="AG9" s="11">
        <f>IFERROR(IFERROR(CEILING(R9/AE9,1),""),"")</f>
        <v/>
      </c>
      <c r="AH9" s="11">
        <f>IFERROR(IFERROR(AG9*(1000/B9)/1000,""),"")</f>
        <v/>
      </c>
      <c r="AI9" s="10">
        <f>IFERROR(MAX(1,ROUND(Q9*(1-F9/100)*1/(1+L9/100)+W9*(1-M9/100)*1/(1+L9/100)+X9*(1-N9/100)*1/(1+L9/100)+Y9*(1-O9/100)*1/(1+L9/100)+Z9*(1-P9/100)*1/(1+L9/100),0)),"")</f>
        <v/>
      </c>
      <c r="AJ9" s="10">
        <f>IFERROR(MAX(1,ROUND((Q9*(1-F9/100)*1/(1+L9/100)+W9*(1-M9/100)*1/(1+L9/100)+X9*(1-N9/100)*1/(1+L9/100)+Y9*(1-O9/100)*1/(1+L9/100)+Z9*(1-P9/100)*1/(1+L9/100))*(1+U9/100),0)),"")</f>
        <v/>
      </c>
      <c r="AK9" s="11">
        <f>IFERROR(IFERROR(CEILING(C9/AI9,1),""),"")</f>
        <v/>
      </c>
      <c r="AL9" s="11">
        <f>IFERROR(IFERROR(AK9*(1000/V9)/1000,""),"")</f>
        <v/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10">
        <f>IFERROR(MAX(1,ROUND(A10*(1-MAX(0,S10-G10)/100)+H10*(1-AA10/100)+I10*(1-AB10/100)+J10*(1-AC10/100)+K10*(1-AD10/100),0)),"")</f>
        <v/>
      </c>
      <c r="AF10" s="10">
        <f>IFERROR(MAX(1,ROUND((A10*(1-MAX(0,S10-G10)/100)+H10*(1-AA10/100)+I10*(1-AB10/100)+J10*(1-AC10/100)+K10*(1-AD10/100))*(1+E10/100),0)),"")</f>
        <v/>
      </c>
      <c r="AG10" s="11">
        <f>IFERROR(IFERROR(CEILING(R10/AE10,1),""),"")</f>
        <v/>
      </c>
      <c r="AH10" s="11">
        <f>IFERROR(IFERROR(AG10*(1000/B10)/1000,""),"")</f>
        <v/>
      </c>
      <c r="AI10" s="10">
        <f>IFERROR(MAX(1,ROUND(Q10*(1-F10/100)*1/(1+L10/100)+W10*(1-M10/100)*1/(1+L10/100)+X10*(1-N10/100)*1/(1+L10/100)+Y10*(1-O10/100)*1/(1+L10/100)+Z10*(1-P10/100)*1/(1+L10/100),0)),"")</f>
        <v/>
      </c>
      <c r="AJ10" s="10">
        <f>IFERROR(MAX(1,ROUND((Q10*(1-F10/100)*1/(1+L10/100)+W10*(1-M10/100)*1/(1+L10/100)+X10*(1-N10/100)*1/(1+L10/100)+Y10*(1-O10/100)*1/(1+L10/100)+Z10*(1-P10/100)*1/(1+L10/100))*(1+U10/100),0)),"")</f>
        <v/>
      </c>
      <c r="AK10" s="11">
        <f>IFERROR(IFERROR(CEILING(C10/AI10,1),""),"")</f>
        <v/>
      </c>
      <c r="AL10" s="11">
        <f>IFERROR(IFERROR(AK10*(1000/V10)/1000,""),"")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10">
        <f>IFERROR(MAX(1,ROUND(A11*(1-MAX(0,S11-G11)/100)+H11*(1-AA11/100)+I11*(1-AB11/100)+J11*(1-AC11/100)+K11*(1-AD11/100),0)),"")</f>
        <v/>
      </c>
      <c r="AF11" s="10">
        <f>IFERROR(MAX(1,ROUND((A11*(1-MAX(0,S11-G11)/100)+H11*(1-AA11/100)+I11*(1-AB11/100)+J11*(1-AC11/100)+K11*(1-AD11/100))*(1+E11/100),0)),"")</f>
        <v/>
      </c>
      <c r="AG11" s="11">
        <f>IFERROR(IFERROR(CEILING(R11/AE11,1),""),"")</f>
        <v/>
      </c>
      <c r="AH11" s="11">
        <f>IFERROR(IFERROR(AG11*(1000/B11)/1000,""),"")</f>
        <v/>
      </c>
      <c r="AI11" s="10">
        <f>IFERROR(MAX(1,ROUND(Q11*(1-F11/100)*1/(1+L11/100)+W11*(1-M11/100)*1/(1+L11/100)+X11*(1-N11/100)*1/(1+L11/100)+Y11*(1-O11/100)*1/(1+L11/100)+Z11*(1-P11/100)*1/(1+L11/100),0)),"")</f>
        <v/>
      </c>
      <c r="AJ11" s="10">
        <f>IFERROR(MAX(1,ROUND((Q11*(1-F11/100)*1/(1+L11/100)+W11*(1-M11/100)*1/(1+L11/100)+X11*(1-N11/100)*1/(1+L11/100)+Y11*(1-O11/100)*1/(1+L11/100)+Z11*(1-P11/100)*1/(1+L11/100))*(1+U11/100),0)),"")</f>
        <v/>
      </c>
      <c r="AK11" s="11">
        <f>IFERROR(IFERROR(CEILING(C11/AI11,1),""),"")</f>
        <v/>
      </c>
      <c r="AL11" s="11">
        <f>IFERROR(IFERROR(AK11*(1000/V11)/1000,""),"")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10">
        <f>IFERROR(MAX(1,ROUND(A12*(1-MAX(0,S12-G12)/100)+H12*(1-AA12/100)+I12*(1-AB12/100)+J12*(1-AC12/100)+K12*(1-AD12/100),0)),"")</f>
        <v/>
      </c>
      <c r="AF12" s="10">
        <f>IFERROR(MAX(1,ROUND((A12*(1-MAX(0,S12-G12)/100)+H12*(1-AA12/100)+I12*(1-AB12/100)+J12*(1-AC12/100)+K12*(1-AD12/100))*(1+E12/100),0)),"")</f>
        <v/>
      </c>
      <c r="AG12" s="11">
        <f>IFERROR(IFERROR(CEILING(R12/AE12,1),""),"")</f>
        <v/>
      </c>
      <c r="AH12" s="11">
        <f>IFERROR(IFERROR(AG12*(1000/B12)/1000,""),"")</f>
        <v/>
      </c>
      <c r="AI12" s="10">
        <f>IFERROR(MAX(1,ROUND(Q12*(1-F12/100)*1/(1+L12/100)+W12*(1-M12/100)*1/(1+L12/100)+X12*(1-N12/100)*1/(1+L12/100)+Y12*(1-O12/100)*1/(1+L12/100)+Z12*(1-P12/100)*1/(1+L12/100),0)),"")</f>
        <v/>
      </c>
      <c r="AJ12" s="10">
        <f>IFERROR(MAX(1,ROUND((Q12*(1-F12/100)*1/(1+L12/100)+W12*(1-M12/100)*1/(1+L12/100)+X12*(1-N12/100)*1/(1+L12/100)+Y12*(1-O12/100)*1/(1+L12/100)+Z12*(1-P12/100)*1/(1+L12/100))*(1+U12/100),0)),"")</f>
        <v/>
      </c>
      <c r="AK12" s="11">
        <f>IFERROR(IFERROR(CEILING(C12/AI12,1),""),"")</f>
        <v/>
      </c>
      <c r="AL12" s="11">
        <f>IFERROR(IFERROR(AK12*(1000/V12)/1000,""),"")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10">
        <f>IFERROR(MAX(1,ROUND(A13*(1-MAX(0,S13-G13)/100)+H13*(1-AA13/100)+I13*(1-AB13/100)+J13*(1-AC13/100)+K13*(1-AD13/100),0)),"")</f>
        <v/>
      </c>
      <c r="AF13" s="10">
        <f>IFERROR(MAX(1,ROUND((A13*(1-MAX(0,S13-G13)/100)+H13*(1-AA13/100)+I13*(1-AB13/100)+J13*(1-AC13/100)+K13*(1-AD13/100))*(1+E13/100),0)),"")</f>
        <v/>
      </c>
      <c r="AG13" s="11">
        <f>IFERROR(IFERROR(CEILING(R13/AE13,1),""),"")</f>
        <v/>
      </c>
      <c r="AH13" s="11">
        <f>IFERROR(IFERROR(AG13*(1000/B13)/1000,""),"")</f>
        <v/>
      </c>
      <c r="AI13" s="10">
        <f>IFERROR(MAX(1,ROUND(Q13*(1-F13/100)*1/(1+L13/100)+W13*(1-M13/100)*1/(1+L13/100)+X13*(1-N13/100)*1/(1+L13/100)+Y13*(1-O13/100)*1/(1+L13/100)+Z13*(1-P13/100)*1/(1+L13/100),0)),"")</f>
        <v/>
      </c>
      <c r="AJ13" s="10">
        <f>IFERROR(MAX(1,ROUND((Q13*(1-F13/100)*1/(1+L13/100)+W13*(1-M13/100)*1/(1+L13/100)+X13*(1-N13/100)*1/(1+L13/100)+Y13*(1-O13/100)*1/(1+L13/100)+Z13*(1-P13/100)*1/(1+L13/100))*(1+U13/100),0)),"")</f>
        <v/>
      </c>
      <c r="AK13" s="11">
        <f>IFERROR(IFERROR(CEILING(C13/AI13,1),""),"")</f>
        <v/>
      </c>
      <c r="AL13" s="11">
        <f>IFERROR(IFERROR(AK13*(1000/V13)/1000,""),"")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10">
        <f>IFERROR(MAX(1,ROUND(A14*(1-MAX(0,S14-G14)/100)+H14*(1-AA14/100)+I14*(1-AB14/100)+J14*(1-AC14/100)+K14*(1-AD14/100),0)),"")</f>
        <v/>
      </c>
      <c r="AF14" s="10">
        <f>IFERROR(MAX(1,ROUND((A14*(1-MAX(0,S14-G14)/100)+H14*(1-AA14/100)+I14*(1-AB14/100)+J14*(1-AC14/100)+K14*(1-AD14/100))*(1+E14/100),0)),"")</f>
        <v/>
      </c>
      <c r="AG14" s="11">
        <f>IFERROR(IFERROR(CEILING(R14/AE14,1),""),"")</f>
        <v/>
      </c>
      <c r="AH14" s="11">
        <f>IFERROR(IFERROR(AG14*(1000/B14)/1000,""),"")</f>
        <v/>
      </c>
      <c r="AI14" s="10">
        <f>IFERROR(MAX(1,ROUND(Q14*(1-F14/100)*1/(1+L14/100)+W14*(1-M14/100)*1/(1+L14/100)+X14*(1-N14/100)*1/(1+L14/100)+Y14*(1-O14/100)*1/(1+L14/100)+Z14*(1-P14/100)*1/(1+L14/100),0)),"")</f>
        <v/>
      </c>
      <c r="AJ14" s="10">
        <f>IFERROR(MAX(1,ROUND((Q14*(1-F14/100)*1/(1+L14/100)+W14*(1-M14/100)*1/(1+L14/100)+X14*(1-N14/100)*1/(1+L14/100)+Y14*(1-O14/100)*1/(1+L14/100)+Z14*(1-P14/100)*1/(1+L14/100))*(1+U14/100),0)),"")</f>
        <v/>
      </c>
      <c r="AK14" s="11">
        <f>IFERROR(IFERROR(CEILING(C14/AI14,1),""),"")</f>
        <v/>
      </c>
      <c r="AL14" s="11">
        <f>IFERROR(IFERROR(AK14*(1000/V14)/1000,""),"")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10">
        <f>IFERROR(MAX(1,ROUND(A15*(1-MAX(0,S15-G15)/100)+H15*(1-AA15/100)+I15*(1-AB15/100)+J15*(1-AC15/100)+K15*(1-AD15/100),0)),"")</f>
        <v/>
      </c>
      <c r="AF15" s="10">
        <f>IFERROR(MAX(1,ROUND((A15*(1-MAX(0,S15-G15)/100)+H15*(1-AA15/100)+I15*(1-AB15/100)+J15*(1-AC15/100)+K15*(1-AD15/100))*(1+E15/100),0)),"")</f>
        <v/>
      </c>
      <c r="AG15" s="11">
        <f>IFERROR(IFERROR(CEILING(R15/AE15,1),""),"")</f>
        <v/>
      </c>
      <c r="AH15" s="11">
        <f>IFERROR(IFERROR(AG15*(1000/B15)/1000,""),"")</f>
        <v/>
      </c>
      <c r="AI15" s="10">
        <f>IFERROR(MAX(1,ROUND(Q15*(1-F15/100)*1/(1+L15/100)+W15*(1-M15/100)*1/(1+L15/100)+X15*(1-N15/100)*1/(1+L15/100)+Y15*(1-O15/100)*1/(1+L15/100)+Z15*(1-P15/100)*1/(1+L15/100),0)),"")</f>
        <v/>
      </c>
      <c r="AJ15" s="10">
        <f>IFERROR(MAX(1,ROUND((Q15*(1-F15/100)*1/(1+L15/100)+W15*(1-M15/100)*1/(1+L15/100)+X15*(1-N15/100)*1/(1+L15/100)+Y15*(1-O15/100)*1/(1+L15/100)+Z15*(1-P15/100)*1/(1+L15/100))*(1+U15/100),0)),"")</f>
        <v/>
      </c>
      <c r="AK15" s="11">
        <f>IFERROR(IFERROR(CEILING(C15/AI15,1),""),"")</f>
        <v/>
      </c>
      <c r="AL15" s="11">
        <f>IFERROR(IFERROR(AK15*(1000/V15)/1000,""),"")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10">
        <f>IFERROR(MAX(1,ROUND(A16*(1-MAX(0,S16-G16)/100)+H16*(1-AA16/100)+I16*(1-AB16/100)+J16*(1-AC16/100)+K16*(1-AD16/100),0)),"")</f>
        <v/>
      </c>
      <c r="AF16" s="10">
        <f>IFERROR(MAX(1,ROUND((A16*(1-MAX(0,S16-G16)/100)+H16*(1-AA16/100)+I16*(1-AB16/100)+J16*(1-AC16/100)+K16*(1-AD16/100))*(1+E16/100),0)),"")</f>
        <v/>
      </c>
      <c r="AG16" s="11">
        <f>IFERROR(IFERROR(CEILING(R16/AE16,1),""),"")</f>
        <v/>
      </c>
      <c r="AH16" s="11">
        <f>IFERROR(IFERROR(AG16*(1000/B16)/1000,""),"")</f>
        <v/>
      </c>
      <c r="AI16" s="10">
        <f>IFERROR(MAX(1,ROUND(Q16*(1-F16/100)*1/(1+L16/100)+W16*(1-M16/100)*1/(1+L16/100)+X16*(1-N16/100)*1/(1+L16/100)+Y16*(1-O16/100)*1/(1+L16/100)+Z16*(1-P16/100)*1/(1+L16/100),0)),"")</f>
        <v/>
      </c>
      <c r="AJ16" s="10">
        <f>IFERROR(MAX(1,ROUND((Q16*(1-F16/100)*1/(1+L16/100)+W16*(1-M16/100)*1/(1+L16/100)+X16*(1-N16/100)*1/(1+L16/100)+Y16*(1-O16/100)*1/(1+L16/100)+Z16*(1-P16/100)*1/(1+L16/100))*(1+U16/100),0)),"")</f>
        <v/>
      </c>
      <c r="AK16" s="11">
        <f>IFERROR(IFERROR(CEILING(C16/AI16,1),""),"")</f>
        <v/>
      </c>
      <c r="AL16" s="11">
        <f>IFERROR(IFERROR(AK16*(1000/V16)/1000,""),"")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10">
        <f>IFERROR(MAX(1,ROUND(A17*(1-MAX(0,S17-G17)/100)+H17*(1-AA17/100)+I17*(1-AB17/100)+J17*(1-AC17/100)+K17*(1-AD17/100),0)),"")</f>
        <v/>
      </c>
      <c r="AF17" s="10">
        <f>IFERROR(MAX(1,ROUND((A17*(1-MAX(0,S17-G17)/100)+H17*(1-AA17/100)+I17*(1-AB17/100)+J17*(1-AC17/100)+K17*(1-AD17/100))*(1+E17/100),0)),"")</f>
        <v/>
      </c>
      <c r="AG17" s="11">
        <f>IFERROR(IFERROR(CEILING(R17/AE17,1),""),"")</f>
        <v/>
      </c>
      <c r="AH17" s="11">
        <f>IFERROR(IFERROR(AG17*(1000/B17)/1000,""),"")</f>
        <v/>
      </c>
      <c r="AI17" s="10">
        <f>IFERROR(MAX(1,ROUND(Q17*(1-F17/100)*1/(1+L17/100)+W17*(1-M17/100)*1/(1+L17/100)+X17*(1-N17/100)*1/(1+L17/100)+Y17*(1-O17/100)*1/(1+L17/100)+Z17*(1-P17/100)*1/(1+L17/100),0)),"")</f>
        <v/>
      </c>
      <c r="AJ17" s="10">
        <f>IFERROR(MAX(1,ROUND((Q17*(1-F17/100)*1/(1+L17/100)+W17*(1-M17/100)*1/(1+L17/100)+X17*(1-N17/100)*1/(1+L17/100)+Y17*(1-O17/100)*1/(1+L17/100)+Z17*(1-P17/100)*1/(1+L17/100))*(1+U17/100),0)),"")</f>
        <v/>
      </c>
      <c r="AK17" s="11">
        <f>IFERROR(IFERROR(CEILING(C17/AI17,1),""),"")</f>
        <v/>
      </c>
      <c r="AL17" s="11">
        <f>IFERROR(IFERROR(AK17*(1000/V17)/1000,""),"")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10">
        <f>IFERROR(MAX(1,ROUND(A18*(1-MAX(0,S18-G18)/100)+H18*(1-AA18/100)+I18*(1-AB18/100)+J18*(1-AC18/100)+K18*(1-AD18/100),0)),"")</f>
        <v/>
      </c>
      <c r="AF18" s="10">
        <f>IFERROR(MAX(1,ROUND((A18*(1-MAX(0,S18-G18)/100)+H18*(1-AA18/100)+I18*(1-AB18/100)+J18*(1-AC18/100)+K18*(1-AD18/100))*(1+E18/100),0)),"")</f>
        <v/>
      </c>
      <c r="AG18" s="11">
        <f>IFERROR(IFERROR(CEILING(R18/AE18,1),""),"")</f>
        <v/>
      </c>
      <c r="AH18" s="11">
        <f>IFERROR(IFERROR(AG18*(1000/B18)/1000,""),"")</f>
        <v/>
      </c>
      <c r="AI18" s="10">
        <f>IFERROR(MAX(1,ROUND(Q18*(1-F18/100)*1/(1+L18/100)+W18*(1-M18/100)*1/(1+L18/100)+X18*(1-N18/100)*1/(1+L18/100)+Y18*(1-O18/100)*1/(1+L18/100)+Z18*(1-P18/100)*1/(1+L18/100),0)),"")</f>
        <v/>
      </c>
      <c r="AJ18" s="10">
        <f>IFERROR(MAX(1,ROUND((Q18*(1-F18/100)*1/(1+L18/100)+W18*(1-M18/100)*1/(1+L18/100)+X18*(1-N18/100)*1/(1+L18/100)+Y18*(1-O18/100)*1/(1+L18/100)+Z18*(1-P18/100)*1/(1+L18/100))*(1+U18/100),0)),"")</f>
        <v/>
      </c>
      <c r="AK18" s="11">
        <f>IFERROR(IFERROR(CEILING(C18/AI18,1),""),"")</f>
        <v/>
      </c>
      <c r="AL18" s="11">
        <f>IFERROR(IFERROR(AK18*(1000/V18)/1000,""),"")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10">
        <f>IFERROR(MAX(1,ROUND(A19*(1-MAX(0,S19-G19)/100)+H19*(1-AA19/100)+I19*(1-AB19/100)+J19*(1-AC19/100)+K19*(1-AD19/100),0)),"")</f>
        <v/>
      </c>
      <c r="AF19" s="10">
        <f>IFERROR(MAX(1,ROUND((A19*(1-MAX(0,S19-G19)/100)+H19*(1-AA19/100)+I19*(1-AB19/100)+J19*(1-AC19/100)+K19*(1-AD19/100))*(1+E19/100),0)),"")</f>
        <v/>
      </c>
      <c r="AG19" s="11">
        <f>IFERROR(IFERROR(CEILING(R19/AE19,1),""),"")</f>
        <v/>
      </c>
      <c r="AH19" s="11">
        <f>IFERROR(IFERROR(AG19*(1000/B19)/1000,""),"")</f>
        <v/>
      </c>
      <c r="AI19" s="10">
        <f>IFERROR(MAX(1,ROUND(Q19*(1-F19/100)*1/(1+L19/100)+W19*(1-M19/100)*1/(1+L19/100)+X19*(1-N19/100)*1/(1+L19/100)+Y19*(1-O19/100)*1/(1+L19/100)+Z19*(1-P19/100)*1/(1+L19/100),0)),"")</f>
        <v/>
      </c>
      <c r="AJ19" s="10">
        <f>IFERROR(MAX(1,ROUND((Q19*(1-F19/100)*1/(1+L19/100)+W19*(1-M19/100)*1/(1+L19/100)+X19*(1-N19/100)*1/(1+L19/100)+Y19*(1-O19/100)*1/(1+L19/100)+Z19*(1-P19/100)*1/(1+L19/100))*(1+U19/100),0)),"")</f>
        <v/>
      </c>
      <c r="AK19" s="11">
        <f>IFERROR(IFERROR(CEILING(C19/AI19,1),""),"")</f>
        <v/>
      </c>
      <c r="AL19" s="11">
        <f>IFERROR(IFERROR(AK19*(1000/V19)/1000,""),"")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10">
        <f>IFERROR(MAX(1,ROUND(A20*(1-MAX(0,S20-G20)/100)+H20*(1-AA20/100)+I20*(1-AB20/100)+J20*(1-AC20/100)+K20*(1-AD20/100),0)),"")</f>
        <v/>
      </c>
      <c r="AF20" s="10">
        <f>IFERROR(MAX(1,ROUND((A20*(1-MAX(0,S20-G20)/100)+H20*(1-AA20/100)+I20*(1-AB20/100)+J20*(1-AC20/100)+K20*(1-AD20/100))*(1+E20/100),0)),"")</f>
        <v/>
      </c>
      <c r="AG20" s="11">
        <f>IFERROR(IFERROR(CEILING(R20/AE20,1),""),"")</f>
        <v/>
      </c>
      <c r="AH20" s="11">
        <f>IFERROR(IFERROR(AG20*(1000/B20)/1000,""),"")</f>
        <v/>
      </c>
      <c r="AI20" s="10">
        <f>IFERROR(MAX(1,ROUND(Q20*(1-F20/100)*1/(1+L20/100)+W20*(1-M20/100)*1/(1+L20/100)+X20*(1-N20/100)*1/(1+L20/100)+Y20*(1-O20/100)*1/(1+L20/100)+Z20*(1-P20/100)*1/(1+L20/100),0)),"")</f>
        <v/>
      </c>
      <c r="AJ20" s="10">
        <f>IFERROR(MAX(1,ROUND((Q20*(1-F20/100)*1/(1+L20/100)+W20*(1-M20/100)*1/(1+L20/100)+X20*(1-N20/100)*1/(1+L20/100)+Y20*(1-O20/100)*1/(1+L20/100)+Z20*(1-P20/100)*1/(1+L20/100))*(1+U20/100),0)),"")</f>
        <v/>
      </c>
      <c r="AK20" s="11">
        <f>IFERROR(IFERROR(CEILING(C20/AI20,1),""),"")</f>
        <v/>
      </c>
      <c r="AL20" s="11">
        <f>IFERROR(IFERROR(AK20*(1000/V20)/1000,""),"")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10">
        <f>IFERROR(MAX(1,ROUND(A21*(1-MAX(0,S21-G21)/100)+H21*(1-AA21/100)+I21*(1-AB21/100)+J21*(1-AC21/100)+K21*(1-AD21/100),0)),"")</f>
        <v/>
      </c>
      <c r="AF21" s="10">
        <f>IFERROR(MAX(1,ROUND((A21*(1-MAX(0,S21-G21)/100)+H21*(1-AA21/100)+I21*(1-AB21/100)+J21*(1-AC21/100)+K21*(1-AD21/100))*(1+E21/100),0)),"")</f>
        <v/>
      </c>
      <c r="AG21" s="11">
        <f>IFERROR(IFERROR(CEILING(R21/AE21,1),""),"")</f>
        <v/>
      </c>
      <c r="AH21" s="11">
        <f>IFERROR(IFERROR(AG21*(1000/B21)/1000,""),"")</f>
        <v/>
      </c>
      <c r="AI21" s="10">
        <f>IFERROR(MAX(1,ROUND(Q21*(1-F21/100)*1/(1+L21/100)+W21*(1-M21/100)*1/(1+L21/100)+X21*(1-N21/100)*1/(1+L21/100)+Y21*(1-O21/100)*1/(1+L21/100)+Z21*(1-P21/100)*1/(1+L21/100),0)),"")</f>
        <v/>
      </c>
      <c r="AJ21" s="10">
        <f>IFERROR(MAX(1,ROUND((Q21*(1-F21/100)*1/(1+L21/100)+W21*(1-M21/100)*1/(1+L21/100)+X21*(1-N21/100)*1/(1+L21/100)+Y21*(1-O21/100)*1/(1+L21/100)+Z21*(1-P21/100)*1/(1+L21/100))*(1+U21/100),0)),"")</f>
        <v/>
      </c>
      <c r="AK21" s="11">
        <f>IFERROR(IFERROR(CEILING(C21/AI21,1),""),"")</f>
        <v/>
      </c>
      <c r="AL21" s="11">
        <f>IFERROR(IFERROR(AK21*(1000/V21)/1000,""),"")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10">
        <f>IFERROR(MAX(1,ROUND(A22*(1-MAX(0,S22-G22)/100)+H22*(1-AA22/100)+I22*(1-AB22/100)+J22*(1-AC22/100)+K22*(1-AD22/100),0)),"")</f>
        <v/>
      </c>
      <c r="AF22" s="10">
        <f>IFERROR(MAX(1,ROUND((A22*(1-MAX(0,S22-G22)/100)+H22*(1-AA22/100)+I22*(1-AB22/100)+J22*(1-AC22/100)+K22*(1-AD22/100))*(1+E22/100),0)),"")</f>
        <v/>
      </c>
      <c r="AG22" s="11">
        <f>IFERROR(IFERROR(CEILING(R22/AE22,1),""),"")</f>
        <v/>
      </c>
      <c r="AH22" s="11">
        <f>IFERROR(IFERROR(AG22*(1000/B22)/1000,""),"")</f>
        <v/>
      </c>
      <c r="AI22" s="10">
        <f>IFERROR(MAX(1,ROUND(Q22*(1-F22/100)*1/(1+L22/100)+W22*(1-M22/100)*1/(1+L22/100)+X22*(1-N22/100)*1/(1+L22/100)+Y22*(1-O22/100)*1/(1+L22/100)+Z22*(1-P22/100)*1/(1+L22/100),0)),"")</f>
        <v/>
      </c>
      <c r="AJ22" s="10">
        <f>IFERROR(MAX(1,ROUND((Q22*(1-F22/100)*1/(1+L22/100)+W22*(1-M22/100)*1/(1+L22/100)+X22*(1-N22/100)*1/(1+L22/100)+Y22*(1-O22/100)*1/(1+L22/100)+Z22*(1-P22/100)*1/(1+L22/100))*(1+U22/100),0)),"")</f>
        <v/>
      </c>
      <c r="AK22" s="11">
        <f>IFERROR(IFERROR(CEILING(C22/AI22,1),""),"")</f>
        <v/>
      </c>
      <c r="AL22" s="11">
        <f>IFERROR(IFERROR(AK22*(1000/V22)/1000,""),"")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10">
        <f>IFERROR(MAX(1,ROUND(A23*(1-MAX(0,S23-G23)/100)+H23*(1-AA23/100)+I23*(1-AB23/100)+J23*(1-AC23/100)+K23*(1-AD23/100),0)),"")</f>
        <v/>
      </c>
      <c r="AF23" s="10">
        <f>IFERROR(MAX(1,ROUND((A23*(1-MAX(0,S23-G23)/100)+H23*(1-AA23/100)+I23*(1-AB23/100)+J23*(1-AC23/100)+K23*(1-AD23/100))*(1+E23/100),0)),"")</f>
        <v/>
      </c>
      <c r="AG23" s="11">
        <f>IFERROR(IFERROR(CEILING(R23/AE23,1),""),"")</f>
        <v/>
      </c>
      <c r="AH23" s="11">
        <f>IFERROR(IFERROR(AG23*(1000/B23)/1000,""),"")</f>
        <v/>
      </c>
      <c r="AI23" s="10">
        <f>IFERROR(MAX(1,ROUND(Q23*(1-F23/100)*1/(1+L23/100)+W23*(1-M23/100)*1/(1+L23/100)+X23*(1-N23/100)*1/(1+L23/100)+Y23*(1-O23/100)*1/(1+L23/100)+Z23*(1-P23/100)*1/(1+L23/100),0)),"")</f>
        <v/>
      </c>
      <c r="AJ23" s="10">
        <f>IFERROR(MAX(1,ROUND((Q23*(1-F23/100)*1/(1+L23/100)+W23*(1-M23/100)*1/(1+L23/100)+X23*(1-N23/100)*1/(1+L23/100)+Y23*(1-O23/100)*1/(1+L23/100)+Z23*(1-P23/100)*1/(1+L23/100))*(1+U23/100),0)),"")</f>
        <v/>
      </c>
      <c r="AK23" s="11">
        <f>IFERROR(IFERROR(CEILING(C23/AI23,1),""),"")</f>
        <v/>
      </c>
      <c r="AL23" s="11">
        <f>IFERROR(IFERROR(AK23*(1000/V23)/1000,""),"")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10">
        <f>IFERROR(MAX(1,ROUND(A24*(1-MAX(0,S24-G24)/100)+H24*(1-AA24/100)+I24*(1-AB24/100)+J24*(1-AC24/100)+K24*(1-AD24/100),0)),"")</f>
        <v/>
      </c>
      <c r="AF24" s="10">
        <f>IFERROR(MAX(1,ROUND((A24*(1-MAX(0,S24-G24)/100)+H24*(1-AA24/100)+I24*(1-AB24/100)+J24*(1-AC24/100)+K24*(1-AD24/100))*(1+E24/100),0)),"")</f>
        <v/>
      </c>
      <c r="AG24" s="11">
        <f>IFERROR(IFERROR(CEILING(R24/AE24,1),""),"")</f>
        <v/>
      </c>
      <c r="AH24" s="11">
        <f>IFERROR(IFERROR(AG24*(1000/B24)/1000,""),"")</f>
        <v/>
      </c>
      <c r="AI24" s="10">
        <f>IFERROR(MAX(1,ROUND(Q24*(1-F24/100)*1/(1+L24/100)+W24*(1-M24/100)*1/(1+L24/100)+X24*(1-N24/100)*1/(1+L24/100)+Y24*(1-O24/100)*1/(1+L24/100)+Z24*(1-P24/100)*1/(1+L24/100),0)),"")</f>
        <v/>
      </c>
      <c r="AJ24" s="10">
        <f>IFERROR(MAX(1,ROUND((Q24*(1-F24/100)*1/(1+L24/100)+W24*(1-M24/100)*1/(1+L24/100)+X24*(1-N24/100)*1/(1+L24/100)+Y24*(1-O24/100)*1/(1+L24/100)+Z24*(1-P24/100)*1/(1+L24/100))*(1+U24/100),0)),"")</f>
        <v/>
      </c>
      <c r="AK24" s="11">
        <f>IFERROR(IFERROR(CEILING(C24/AI24,1),""),"")</f>
        <v/>
      </c>
      <c r="AL24" s="11">
        <f>IFERROR(IFERROR(AK24*(1000/V24)/1000,""),"")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10">
        <f>IFERROR(MAX(1,ROUND(A25*(1-MAX(0,S25-G25)/100)+H25*(1-AA25/100)+I25*(1-AB25/100)+J25*(1-AC25/100)+K25*(1-AD25/100),0)),"")</f>
        <v/>
      </c>
      <c r="AF25" s="10">
        <f>IFERROR(MAX(1,ROUND((A25*(1-MAX(0,S25-G25)/100)+H25*(1-AA25/100)+I25*(1-AB25/100)+J25*(1-AC25/100)+K25*(1-AD25/100))*(1+E25/100),0)),"")</f>
        <v/>
      </c>
      <c r="AG25" s="11">
        <f>IFERROR(IFERROR(CEILING(R25/AE25,1),""),"")</f>
        <v/>
      </c>
      <c r="AH25" s="11">
        <f>IFERROR(IFERROR(AG25*(1000/B25)/1000,""),"")</f>
        <v/>
      </c>
      <c r="AI25" s="10">
        <f>IFERROR(MAX(1,ROUND(Q25*(1-F25/100)*1/(1+L25/100)+W25*(1-M25/100)*1/(1+L25/100)+X25*(1-N25/100)*1/(1+L25/100)+Y25*(1-O25/100)*1/(1+L25/100)+Z25*(1-P25/100)*1/(1+L25/100),0)),"")</f>
        <v/>
      </c>
      <c r="AJ25" s="10">
        <f>IFERROR(MAX(1,ROUND((Q25*(1-F25/100)*1/(1+L25/100)+W25*(1-M25/100)*1/(1+L25/100)+X25*(1-N25/100)*1/(1+L25/100)+Y25*(1-O25/100)*1/(1+L25/100)+Z25*(1-P25/100)*1/(1+L25/100))*(1+U25/100),0)),"")</f>
        <v/>
      </c>
      <c r="AK25" s="11">
        <f>IFERROR(IFERROR(CEILING(C25/AI25,1),""),"")</f>
        <v/>
      </c>
      <c r="AL25" s="11">
        <f>IFERROR(IFERROR(AK25*(1000/V25)/1000,""),"")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10">
        <f>IFERROR(MAX(1,ROUND(A26*(1-MAX(0,S26-G26)/100)+H26*(1-AA26/100)+I26*(1-AB26/100)+J26*(1-AC26/100)+K26*(1-AD26/100),0)),"")</f>
        <v/>
      </c>
      <c r="AF26" s="10">
        <f>IFERROR(MAX(1,ROUND((A26*(1-MAX(0,S26-G26)/100)+H26*(1-AA26/100)+I26*(1-AB26/100)+J26*(1-AC26/100)+K26*(1-AD26/100))*(1+E26/100),0)),"")</f>
        <v/>
      </c>
      <c r="AG26" s="11">
        <f>IFERROR(IFERROR(CEILING(R26/AE26,1),""),"")</f>
        <v/>
      </c>
      <c r="AH26" s="11">
        <f>IFERROR(IFERROR(AG26*(1000/B26)/1000,""),"")</f>
        <v/>
      </c>
      <c r="AI26" s="10">
        <f>IFERROR(MAX(1,ROUND(Q26*(1-F26/100)*1/(1+L26/100)+W26*(1-M26/100)*1/(1+L26/100)+X26*(1-N26/100)*1/(1+L26/100)+Y26*(1-O26/100)*1/(1+L26/100)+Z26*(1-P26/100)*1/(1+L26/100),0)),"")</f>
        <v/>
      </c>
      <c r="AJ26" s="10">
        <f>IFERROR(MAX(1,ROUND((Q26*(1-F26/100)*1/(1+L26/100)+W26*(1-M26/100)*1/(1+L26/100)+X26*(1-N26/100)*1/(1+L26/100)+Y26*(1-O26/100)*1/(1+L26/100)+Z26*(1-P26/100)*1/(1+L26/100))*(1+U26/100),0)),"")</f>
        <v/>
      </c>
      <c r="AK26" s="11">
        <f>IFERROR(IFERROR(CEILING(C26/AI26,1),""),"")</f>
        <v/>
      </c>
      <c r="AL26" s="11">
        <f>IFERROR(IFERROR(AK26*(1000/V26)/1000,""),"")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10">
        <f>IFERROR(MAX(1,ROUND(A27*(1-MAX(0,S27-G27)/100)+H27*(1-AA27/100)+I27*(1-AB27/100)+J27*(1-AC27/100)+K27*(1-AD27/100),0)),"")</f>
        <v/>
      </c>
      <c r="AF27" s="10">
        <f>IFERROR(MAX(1,ROUND((A27*(1-MAX(0,S27-G27)/100)+H27*(1-AA27/100)+I27*(1-AB27/100)+J27*(1-AC27/100)+K27*(1-AD27/100))*(1+E27/100),0)),"")</f>
        <v/>
      </c>
      <c r="AG27" s="11">
        <f>IFERROR(IFERROR(CEILING(R27/AE27,1),""),"")</f>
        <v/>
      </c>
      <c r="AH27" s="11">
        <f>IFERROR(IFERROR(AG27*(1000/B27)/1000,""),"")</f>
        <v/>
      </c>
      <c r="AI27" s="10">
        <f>IFERROR(MAX(1,ROUND(Q27*(1-F27/100)*1/(1+L27/100)+W27*(1-M27/100)*1/(1+L27/100)+X27*(1-N27/100)*1/(1+L27/100)+Y27*(1-O27/100)*1/(1+L27/100)+Z27*(1-P27/100)*1/(1+L27/100),0)),"")</f>
        <v/>
      </c>
      <c r="AJ27" s="10">
        <f>IFERROR(MAX(1,ROUND((Q27*(1-F27/100)*1/(1+L27/100)+W27*(1-M27/100)*1/(1+L27/100)+X27*(1-N27/100)*1/(1+L27/100)+Y27*(1-O27/100)*1/(1+L27/100)+Z27*(1-P27/100)*1/(1+L27/100))*(1+U27/100),0)),"")</f>
        <v/>
      </c>
      <c r="AK27" s="11">
        <f>IFERROR(IFERROR(CEILING(C27/AI27,1),""),"")</f>
        <v/>
      </c>
      <c r="AL27" s="11">
        <f>IFERROR(IFERROR(AK27*(1000/V27)/1000,""),"")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10">
        <f>IFERROR(MAX(1,ROUND(A28*(1-MAX(0,S28-G28)/100)+H28*(1-AA28/100)+I28*(1-AB28/100)+J28*(1-AC28/100)+K28*(1-AD28/100),0)),"")</f>
        <v/>
      </c>
      <c r="AF28" s="10">
        <f>IFERROR(MAX(1,ROUND((A28*(1-MAX(0,S28-G28)/100)+H28*(1-AA28/100)+I28*(1-AB28/100)+J28*(1-AC28/100)+K28*(1-AD28/100))*(1+E28/100),0)),"")</f>
        <v/>
      </c>
      <c r="AG28" s="11">
        <f>IFERROR(IFERROR(CEILING(R28/AE28,1),""),"")</f>
        <v/>
      </c>
      <c r="AH28" s="11">
        <f>IFERROR(IFERROR(AG28*(1000/B28)/1000,""),"")</f>
        <v/>
      </c>
      <c r="AI28" s="10">
        <f>IFERROR(MAX(1,ROUND(Q28*(1-F28/100)*1/(1+L28/100)+W28*(1-M28/100)*1/(1+L28/100)+X28*(1-N28/100)*1/(1+L28/100)+Y28*(1-O28/100)*1/(1+L28/100)+Z28*(1-P28/100)*1/(1+L28/100),0)),"")</f>
        <v/>
      </c>
      <c r="AJ28" s="10">
        <f>IFERROR(MAX(1,ROUND((Q28*(1-F28/100)*1/(1+L28/100)+W28*(1-M28/100)*1/(1+L28/100)+X28*(1-N28/100)*1/(1+L28/100)+Y28*(1-O28/100)*1/(1+L28/100)+Z28*(1-P28/100)*1/(1+L28/100))*(1+U28/100),0)),"")</f>
        <v/>
      </c>
      <c r="AK28" s="11">
        <f>IFERROR(IFERROR(CEILING(C28/AI28,1),""),"")</f>
        <v/>
      </c>
      <c r="AL28" s="11">
        <f>IFERROR(IFERROR(AK28*(1000/V28)/1000,""),"")</f>
        <v/>
      </c>
    </row>
    <row r="31">
      <c r="A31" s="12" t="inlineStr">
        <is>
          <t>公式说明（完整设计版）</t>
        </is>
      </c>
    </row>
    <row r="32">
      <c r="A32" s="13" t="inlineStr">
        <is>
          <t>【人物攻击怪物】</t>
        </is>
      </c>
    </row>
    <row r="33">
      <c r="A33" s="13" t="inlineStr">
        <is>
          <t>1. 物理基础 = 攻击力 × (1 - max(0, 怪物防御 - 物理穿透) / 100)</t>
        </is>
      </c>
    </row>
    <row r="34">
      <c r="A34" s="13" t="inlineStr">
        <is>
          <t>2. 各属性实际 = 人物该属性伤害 × (1 - 怪物对应抗性 / 100)  （抗性超过100完全免疫该属性）</t>
        </is>
      </c>
    </row>
    <row r="35">
      <c r="A35" s="13" t="inlineStr">
        <is>
          <t>3. 非暴击总伤害 = max(1, round(物理基础 + 火+冰+雷+毒属性实际, 0))</t>
        </is>
      </c>
    </row>
    <row r="36">
      <c r="A36" s="13" t="inlineStr">
        <is>
          <t>4. 暴击总伤害 = max(1, round((物理基础 + 属性总和) × (1 + 暴击伤害/100), 0))</t>
        </is>
      </c>
    </row>
    <row r="37">
      <c r="A37" s="13" t="inlineStr">
        <is>
          <t>5. 击杀次数 = CEILING(怪物最大生命 / 非暴击总伤害, 1)  （向上取整）</t>
        </is>
      </c>
    </row>
    <row r="38">
      <c r="A38" s="13" t="inlineStr">
        <is>
          <t>6. 击杀时间(秒) = 击杀次数 × (1000 / 攻击速度) / 1000</t>
        </is>
      </c>
    </row>
    <row r="39">
      <c r="A39" s="13" t="inlineStr"/>
    </row>
    <row r="40">
      <c r="A40" s="13" t="inlineStr">
        <is>
          <t>【怪物攻击人物】</t>
        </is>
      </c>
    </row>
    <row r="41">
      <c r="A41" s="13" t="inlineStr">
        <is>
          <t>7. 通用减伤系数 = 1 / (1 + 通用抗性/100)  （抗性100=50%、抗性200=66.7%，平滑递减免伤）</t>
        </is>
      </c>
    </row>
    <row r="42">
      <c r="A42" s="13" t="inlineStr">
        <is>
          <t>8. 物理基础 = 怪物攻击 × (1 - 玩家防御 / 100) × 通用减伤系数</t>
        </is>
      </c>
    </row>
    <row r="43">
      <c r="A43" s="13" t="inlineStr">
        <is>
          <t>9. 怪物属性实际 = 该元素攻击 × (1 - 玩家对应抗性 / 100) × 通用减伤系数</t>
        </is>
      </c>
    </row>
    <row r="44">
      <c r="A44" s="13" t="inlineStr">
        <is>
          <t>10. 非暴击总伤害 = max(1, round(物理基础 + 火+冰+雷+毒属性实际, 0))</t>
        </is>
      </c>
    </row>
    <row r="45">
      <c r="A45" s="13" t="inlineStr">
        <is>
          <t>11. 暴击总伤害 = max(1, round(总和 × (1 + 怪物暴击伤害/100), 0))</t>
        </is>
      </c>
    </row>
    <row r="46">
      <c r="A46" s="13" t="inlineStr">
        <is>
          <t>12. 击杀次数 = CEILING(玩家最大生命 / 非暴击总伤害, 1)</t>
        </is>
      </c>
    </row>
    <row r="47">
      <c r="A47" s="13" t="inlineStr">
        <is>
          <t>13. 击杀时间(秒) = 击杀次数 × (1000 / 怪物攻击速度) / 1000</t>
        </is>
      </c>
    </row>
    <row r="48">
      <c r="A48" s="13" t="inlineStr"/>
    </row>
    <row r="49">
      <c r="A49" s="13" t="inlineStr">
        <is>
          <t>【填写提示】</t>
        </is>
      </c>
    </row>
    <row r="50">
      <c r="A50" s="13" t="inlineStr">
        <is>
          <t>14. 暴击率/暴击伤害/防御/穿透/抗性/属性伤害 均按百分比数值填写（填20表示20%，填100表示100%）</t>
        </is>
      </c>
    </row>
    <row r="51">
      <c r="A51" s="13" t="inlineStr">
        <is>
          <t>15. 第三部分为 Excel 公式自动计算，修改第一、二部分数据即会重算</t>
        </is>
      </c>
    </row>
  </sheetData>
  <mergeCells count="31">
    <mergeCell ref="L2:P2"/>
    <mergeCell ref="W2:Z2"/>
    <mergeCell ref="A41:AD41"/>
    <mergeCell ref="AA2:AD2"/>
    <mergeCell ref="A46:AD46"/>
    <mergeCell ref="A37:AD37"/>
    <mergeCell ref="A31:J31"/>
    <mergeCell ref="A50:AD50"/>
    <mergeCell ref="AE2:AL2"/>
    <mergeCell ref="A33:AD33"/>
    <mergeCell ref="A47:AD47"/>
    <mergeCell ref="A42:AD42"/>
    <mergeCell ref="A32:AD32"/>
    <mergeCell ref="Q2:V2"/>
    <mergeCell ref="A35:AD35"/>
    <mergeCell ref="A1:P1"/>
    <mergeCell ref="A38:AD38"/>
    <mergeCell ref="Q1:AD1"/>
    <mergeCell ref="A43:AD43"/>
    <mergeCell ref="AE1:AL1"/>
    <mergeCell ref="A44:AD44"/>
    <mergeCell ref="A40:AD40"/>
    <mergeCell ref="A34:AD34"/>
    <mergeCell ref="A48:AD48"/>
    <mergeCell ref="A39:AD39"/>
    <mergeCell ref="H2:K2"/>
    <mergeCell ref="A2:G2"/>
    <mergeCell ref="A49:AD49"/>
    <mergeCell ref="A51:AD51"/>
    <mergeCell ref="A36:AD36"/>
    <mergeCell ref="A45:AD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2026-08-06T17:03:56Z</dcterms:created>
  <dcterms:modified xmlns:dcterms="http://purl.org/dc/terms/" xmlns:xsi="http://www.w3.org/2001/XMLSchema-instance" xsi:type="dcterms:W3CDTF">2026-08-06T17:03:56Z</dcterms:modified>
</cp:coreProperties>
</file>